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PROYECTOS DAVID LABORAL\CierresCaja\backend\templates\"/>
    </mc:Choice>
  </mc:AlternateContent>
  <xr:revisionPtr revIDLastSave="0" documentId="8_{862F6202-0E4D-436C-86B4-AD5B29EF6AA7}" xr6:coauthVersionLast="47" xr6:coauthVersionMax="47" xr10:uidLastSave="{00000000-0000-0000-0000-000000000000}"/>
  <bookViews>
    <workbookView xWindow="-108" yWindow="-108" windowWidth="23256" windowHeight="12456" xr2:uid="{BE1C452E-8735-415D-8CED-3DEB82D65954}"/>
  </bookViews>
  <sheets>
    <sheet name="ARQUEO DE CAJ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I21" i="2"/>
  <c r="I63" i="2" s="1"/>
  <c r="I44" i="2"/>
  <c r="I55" i="2"/>
  <c r="I30" i="2"/>
  <c r="I46" i="2" l="1"/>
  <c r="I65" i="2" s="1"/>
  <c r="I47" i="2"/>
  <c r="H60" i="2"/>
  <c r="D60" i="2"/>
  <c r="E59" i="2"/>
  <c r="E58" i="2"/>
  <c r="I57" i="2"/>
  <c r="E57" i="2"/>
  <c r="I56" i="2"/>
  <c r="E56" i="2"/>
  <c r="E55" i="2"/>
  <c r="I54" i="2"/>
  <c r="E54" i="2"/>
  <c r="I53" i="2"/>
  <c r="E53" i="2"/>
  <c r="I60" i="2" l="1"/>
  <c r="E60" i="2"/>
  <c r="I61" i="2" l="1"/>
  <c r="I64" i="2" s="1"/>
  <c r="I67" i="2" s="1"/>
  <c r="I66" i="2" l="1"/>
</calcChain>
</file>

<file path=xl/sharedStrings.xml><?xml version="1.0" encoding="utf-8"?>
<sst xmlns="http://schemas.openxmlformats.org/spreadsheetml/2006/main" count="63" uniqueCount="58">
  <si>
    <t xml:space="preserve">KUPOCELL S.A.S.
NIT: 901339881-7
</t>
  </si>
  <si>
    <t xml:space="preserve">FECHA </t>
  </si>
  <si>
    <t xml:space="preserve">VERSION </t>
  </si>
  <si>
    <t>PAGINA</t>
  </si>
  <si>
    <t>1 de 1</t>
  </si>
  <si>
    <t>AREA</t>
  </si>
  <si>
    <t>GESTION FINANCIERA</t>
  </si>
  <si>
    <t>FECHA:</t>
  </si>
  <si>
    <t>HORA:</t>
  </si>
  <si>
    <t>SEDE:</t>
  </si>
  <si>
    <t>RESPONSABLE:</t>
  </si>
  <si>
    <t>ADMINISTRADOR DE CADA PUNTO DE VENTA</t>
  </si>
  <si>
    <t>PROCESO:</t>
  </si>
  <si>
    <t>ARQUEO DE CAJA</t>
  </si>
  <si>
    <t>AREA:</t>
  </si>
  <si>
    <t>ADMINISTRATIVA</t>
  </si>
  <si>
    <t>SALDO DIA ANTERIOR:</t>
  </si>
  <si>
    <t>ENTRADAS DEL DIA</t>
  </si>
  <si>
    <t>RANGO DE FACTURAS</t>
  </si>
  <si>
    <t>VALOR</t>
  </si>
  <si>
    <t xml:space="preserve">FACTURA ELECTRONICA  </t>
  </si>
  <si>
    <t xml:space="preserve">VENTA FACTURA POS </t>
  </si>
  <si>
    <t>INGRESOS POR R.C</t>
  </si>
  <si>
    <t>ANTICIPOS CLIENTES ( ABONOS)</t>
  </si>
  <si>
    <t xml:space="preserve">OTROS INGRESOS </t>
  </si>
  <si>
    <t>CUOTA INICIAL EN EFECTIVO</t>
  </si>
  <si>
    <t>TOTAL ENTRADAS DEL DIA</t>
  </si>
  <si>
    <t xml:space="preserve">SALIDAS DEL DIA </t>
  </si>
  <si>
    <t xml:space="preserve">FACTURAS A CREDITO </t>
  </si>
  <si>
    <t>FACTURAS PAGO POR BAUCHER</t>
  </si>
  <si>
    <t xml:space="preserve">ANTICIPO </t>
  </si>
  <si>
    <t xml:space="preserve">TRANSFERENCIA DE BANCOS </t>
  </si>
  <si>
    <t xml:space="preserve">DEVOLUCIONES </t>
  </si>
  <si>
    <t xml:space="preserve">FACTURA ANULADA </t>
  </si>
  <si>
    <t>TOTAL</t>
  </si>
  <si>
    <t>GASTOS POR COMPROBANTES DE PAGO</t>
  </si>
  <si>
    <t>Fecha</t>
  </si>
  <si>
    <t>CP Nº</t>
  </si>
  <si>
    <t>Tercero</t>
  </si>
  <si>
    <t>Concepto</t>
  </si>
  <si>
    <t>Valor</t>
  </si>
  <si>
    <t>TOTAL COMPROBANTES DE PAGO</t>
  </si>
  <si>
    <t>TOTAL SALIDAS DEL DIA</t>
  </si>
  <si>
    <t xml:space="preserve">TOTAL EFECTIVO </t>
  </si>
  <si>
    <t>ENTREGA ARQUEO</t>
  </si>
  <si>
    <t>CONTEO DEL EFECTIVO</t>
  </si>
  <si>
    <t>BILLETES</t>
  </si>
  <si>
    <t>MONEDAS</t>
  </si>
  <si>
    <t>Denominacion</t>
  </si>
  <si>
    <t>Cantidad</t>
  </si>
  <si>
    <t>TOTALES</t>
  </si>
  <si>
    <t>TOTALES:</t>
  </si>
  <si>
    <t xml:space="preserve">TOTAL ARQUEO BILLETES + MONEDAS </t>
  </si>
  <si>
    <t>PLANILLA INGRESOS</t>
  </si>
  <si>
    <t xml:space="preserve">ARQUEO </t>
  </si>
  <si>
    <t>SALIDAS DIARIAS</t>
  </si>
  <si>
    <t xml:space="preserve">FALTANTE /SOBRANTE </t>
  </si>
  <si>
    <t xml:space="preserve">TRASLADO CAJA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</si>
</sst>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42" formatCode="_-&quot;$&quot;\ * #,##0_-;\-&quot;$&quot;\ * #,##0_-;_-&quot;$&quot;\ * &quot;-&quot;_-;_-@_-"/>
    <numFmt numFmtId="41" formatCode="_-* #,##0_-;\-* #,##0_-;_-* &quot;-&quot;_-;_-@_-"/>
    <numFmt numFmtId="164" formatCode="[$-F400]h:mm:ss\ AM/PM"/>
    <numFmt numFmtId="165" formatCode="_-&quot;$&quot;* #,##0_-;\-&quot;$&quot;* #,##0_-;_-&quot;$&quot;* &quot;-&quot;??_-;_-@_-"/>
    <numFmt numFmtId="166" formatCode="_(&quot;$&quot;\ * #,##0.00_);_(&quot;$&quot;\ * \(#,##0.00\);_(&quot;$&quot;\ * &quot;-&quot;??_);_(@_)"/>
    <numFmt numFmtId="167" formatCode="_-&quot;$&quot;\ * #,##0_-;\-&quot;$&quot;\ * #,##0_-;_-&quot;$&quot;\ 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theme="1"/>
      <name val="Tahoma"/>
      <family val="2"/>
    </font>
    <font>
      <b/>
      <sz val="9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212529"/>
      <name val="Inter"/>
    </font>
    <font>
      <sz val="11"/>
      <color rgb="FFE85E42"/>
      <name val="Inte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65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14" fontId="4" fillId="2" borderId="1" xfId="0" applyNumberFormat="1" applyFont="1" applyFill="1" applyBorder="1" applyAlignment="1" applyProtection="1">
      <alignment vertical="center" wrapText="1"/>
      <protection locked="0"/>
    </xf>
    <xf numFmtId="0" fontId="5" fillId="2" borderId="12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/>
      <protection locked="0"/>
    </xf>
    <xf numFmtId="0" fontId="5" fillId="2" borderId="20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 applyProtection="1">
      <alignment horizontal="left" vertical="center"/>
      <protection locked="0"/>
    </xf>
    <xf numFmtId="42" fontId="5" fillId="7" borderId="0" xfId="2" applyFont="1" applyFill="1" applyBorder="1" applyAlignment="1" applyProtection="1">
      <alignment vertical="center"/>
      <protection locked="0"/>
    </xf>
    <xf numFmtId="42" fontId="5" fillId="2" borderId="16" xfId="2" applyFont="1" applyFill="1" applyBorder="1" applyAlignment="1" applyProtection="1">
      <alignment vertical="center"/>
      <protection locked="0"/>
    </xf>
    <xf numFmtId="42" fontId="5" fillId="2" borderId="18" xfId="2" applyFont="1" applyFill="1" applyBorder="1" applyAlignment="1" applyProtection="1">
      <alignment vertical="center"/>
      <protection locked="0"/>
    </xf>
    <xf numFmtId="0" fontId="2" fillId="2" borderId="27" xfId="0" applyFont="1" applyFill="1" applyBorder="1" applyAlignment="1" applyProtection="1">
      <alignment horizontal="left" vertical="center"/>
      <protection locked="0"/>
    </xf>
    <xf numFmtId="0" fontId="2" fillId="2" borderId="28" xfId="0" applyFont="1" applyFill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 applyProtection="1">
      <alignment horizontal="left" vertical="center"/>
      <protection locked="0"/>
    </xf>
    <xf numFmtId="42" fontId="5" fillId="2" borderId="30" xfId="2" applyFont="1" applyFill="1" applyBorder="1" applyAlignment="1" applyProtection="1">
      <alignment vertical="center"/>
      <protection locked="0"/>
    </xf>
    <xf numFmtId="9" fontId="0" fillId="0" borderId="0" xfId="0" applyNumberFormat="1" applyProtection="1"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5" fillId="2" borderId="29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42" fontId="5" fillId="0" borderId="18" xfId="2" applyFont="1" applyFill="1" applyBorder="1" applyAlignment="1" applyProtection="1">
      <alignment vertical="center"/>
      <protection locked="0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14" fontId="2" fillId="2" borderId="17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0" fontId="2" fillId="2" borderId="28" xfId="0" applyFont="1" applyFill="1" applyBorder="1" applyAlignment="1" applyProtection="1">
      <alignment vertical="center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167" fontId="2" fillId="0" borderId="30" xfId="4" applyNumberFormat="1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14" fontId="2" fillId="2" borderId="33" xfId="0" applyNumberFormat="1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4" xfId="0" applyFont="1" applyFill="1" applyBorder="1" applyAlignment="1" applyProtection="1">
      <alignment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18" xfId="0" applyFont="1" applyFill="1" applyBorder="1" applyAlignment="1" applyProtection="1">
      <alignment horizontal="center" vertical="center"/>
      <protection locked="0"/>
    </xf>
    <xf numFmtId="41" fontId="0" fillId="0" borderId="0" xfId="1" applyFont="1" applyProtection="1"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9" fontId="0" fillId="0" borderId="0" xfId="3" applyFont="1" applyProtection="1">
      <protection locked="0"/>
    </xf>
    <xf numFmtId="0" fontId="5" fillId="0" borderId="17" xfId="0" applyFont="1" applyBorder="1" applyProtection="1">
      <protection locked="0"/>
    </xf>
    <xf numFmtId="0" fontId="5" fillId="0" borderId="1" xfId="0" applyFont="1" applyBorder="1" applyProtection="1">
      <protection locked="0"/>
    </xf>
    <xf numFmtId="42" fontId="5" fillId="2" borderId="21" xfId="2" applyFont="1" applyFill="1" applyBorder="1" applyAlignment="1" applyProtection="1">
      <alignment vertical="center"/>
    </xf>
    <xf numFmtId="42" fontId="5" fillId="2" borderId="32" xfId="2" applyFont="1" applyFill="1" applyBorder="1" applyAlignment="1" applyProtection="1">
      <alignment vertical="center"/>
    </xf>
    <xf numFmtId="165" fontId="5" fillId="2" borderId="32" xfId="0" applyNumberFormat="1" applyFont="1" applyFill="1" applyBorder="1" applyAlignment="1">
      <alignment vertical="center"/>
    </xf>
    <xf numFmtId="165" fontId="5" fillId="2" borderId="34" xfId="0" applyNumberFormat="1" applyFont="1" applyFill="1" applyBorder="1" applyAlignment="1">
      <alignment vertical="center"/>
    </xf>
    <xf numFmtId="165" fontId="5" fillId="2" borderId="37" xfId="0" applyNumberFormat="1" applyFont="1" applyFill="1" applyBorder="1" applyAlignment="1">
      <alignment vertical="center"/>
    </xf>
    <xf numFmtId="165" fontId="2" fillId="2" borderId="1" xfId="4" applyNumberFormat="1" applyFont="1" applyFill="1" applyBorder="1" applyAlignment="1" applyProtection="1">
      <alignment vertical="center"/>
    </xf>
    <xf numFmtId="166" fontId="2" fillId="2" borderId="18" xfId="4" applyFont="1" applyFill="1" applyBorder="1" applyAlignment="1" applyProtection="1">
      <alignment vertical="center"/>
    </xf>
    <xf numFmtId="0" fontId="2" fillId="2" borderId="18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5" fontId="2" fillId="2" borderId="42" xfId="4" applyNumberFormat="1" applyFont="1" applyFill="1" applyBorder="1" applyAlignment="1" applyProtection="1">
      <alignment vertical="center"/>
    </xf>
    <xf numFmtId="165" fontId="5" fillId="2" borderId="21" xfId="0" applyNumberFormat="1" applyFont="1" applyFill="1" applyBorder="1" applyAlignment="1">
      <alignment vertical="center"/>
    </xf>
    <xf numFmtId="42" fontId="5" fillId="0" borderId="16" xfId="0" applyNumberFormat="1" applyFont="1" applyBorder="1"/>
    <xf numFmtId="42" fontId="5" fillId="0" borderId="18" xfId="0" applyNumberFormat="1" applyFont="1" applyBorder="1"/>
    <xf numFmtId="42" fontId="5" fillId="6" borderId="18" xfId="0" applyNumberFormat="1" applyFont="1" applyFill="1" applyBorder="1"/>
    <xf numFmtId="42" fontId="5" fillId="0" borderId="21" xfId="0" applyNumberFormat="1" applyFont="1" applyBorder="1"/>
    <xf numFmtId="0" fontId="0" fillId="8" borderId="0" xfId="0" applyFill="1" applyProtection="1">
      <protection locked="0"/>
    </xf>
    <xf numFmtId="42" fontId="0" fillId="8" borderId="0" xfId="0" applyNumberFormat="1" applyFill="1" applyProtection="1">
      <protection locked="0"/>
    </xf>
    <xf numFmtId="165" fontId="0" fillId="8" borderId="0" xfId="0" applyNumberFormat="1" applyFill="1" applyProtection="1">
      <protection locked="0"/>
    </xf>
    <xf numFmtId="0" fontId="2" fillId="8" borderId="0" xfId="0" applyFont="1" applyFill="1" applyProtection="1">
      <protection locked="0"/>
    </xf>
    <xf numFmtId="0" fontId="5" fillId="8" borderId="0" xfId="0" applyFont="1" applyFill="1" applyAlignment="1" applyProtection="1">
      <alignment horizontal="right" vertical="center"/>
      <protection locked="0"/>
    </xf>
    <xf numFmtId="165" fontId="5" fillId="8" borderId="0" xfId="0" applyNumberFormat="1" applyFont="1" applyFill="1" applyAlignment="1" applyProtection="1">
      <alignment vertical="center"/>
      <protection locked="0"/>
    </xf>
    <xf numFmtId="0" fontId="2" fillId="8" borderId="0" xfId="0" applyFont="1" applyFill="1" applyAlignment="1" applyProtection="1">
      <alignment vertical="center"/>
      <protection locked="0"/>
    </xf>
    <xf numFmtId="0" fontId="2" fillId="8" borderId="0" xfId="0" applyFont="1" applyFill="1" applyAlignment="1" applyProtection="1">
      <alignment horizontal="left" vertical="center"/>
      <protection locked="0"/>
    </xf>
    <xf numFmtId="0" fontId="5" fillId="8" borderId="0" xfId="0" applyFont="1" applyFill="1" applyAlignment="1" applyProtection="1">
      <alignment horizontal="center" vertical="center"/>
      <protection locked="0"/>
    </xf>
    <xf numFmtId="42" fontId="5" fillId="8" borderId="0" xfId="2" applyFont="1" applyFill="1" applyBorder="1" applyAlignment="1" applyProtection="1">
      <alignment vertical="center"/>
      <protection locked="0"/>
    </xf>
    <xf numFmtId="0" fontId="5" fillId="8" borderId="3" xfId="0" applyFont="1" applyFill="1" applyBorder="1" applyAlignment="1" applyProtection="1">
      <alignment horizontal="right" vertical="center"/>
      <protection locked="0"/>
    </xf>
    <xf numFmtId="165" fontId="5" fillId="8" borderId="3" xfId="0" applyNumberFormat="1" applyFont="1" applyFill="1" applyBorder="1" applyAlignment="1" applyProtection="1">
      <alignment vertical="center"/>
      <protection locked="0"/>
    </xf>
    <xf numFmtId="42" fontId="6" fillId="7" borderId="24" xfId="2" applyFont="1" applyFill="1" applyBorder="1" applyAlignment="1" applyProtection="1">
      <alignment vertical="center"/>
      <protection locked="0"/>
    </xf>
    <xf numFmtId="167" fontId="7" fillId="0" borderId="30" xfId="4" applyNumberFormat="1" applyFont="1" applyFill="1" applyBorder="1" applyAlignment="1" applyProtection="1">
      <alignment horizontal="center" vertical="center"/>
      <protection locked="0"/>
    </xf>
    <xf numFmtId="6" fontId="6" fillId="2" borderId="18" xfId="2" applyNumberFormat="1" applyFont="1" applyFill="1" applyBorder="1" applyAlignment="1" applyProtection="1">
      <alignment vertical="center"/>
      <protection locked="0"/>
    </xf>
    <xf numFmtId="0" fontId="5" fillId="7" borderId="22" xfId="0" applyFont="1" applyFill="1" applyBorder="1" applyAlignment="1" applyProtection="1">
      <alignment horizontal="left" vertical="center"/>
      <protection locked="0"/>
    </xf>
    <xf numFmtId="0" fontId="5" fillId="7" borderId="23" xfId="0" applyFont="1" applyFill="1" applyBorder="1" applyAlignment="1" applyProtection="1">
      <alignment horizontal="left" vertical="center"/>
      <protection locked="0"/>
    </xf>
    <xf numFmtId="14" fontId="5" fillId="2" borderId="13" xfId="0" applyNumberFormat="1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164" fontId="5" fillId="2" borderId="14" xfId="0" applyNumberFormat="1" applyFont="1" applyFill="1" applyBorder="1" applyAlignment="1" applyProtection="1">
      <alignment horizontal="center" vertical="center"/>
      <protection locked="0"/>
    </xf>
    <xf numFmtId="164" fontId="5" fillId="2" borderId="15" xfId="0" applyNumberFormat="1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9" xfId="0" applyFont="1" applyFill="1" applyBorder="1" applyAlignment="1" applyProtection="1">
      <alignment horizontal="right" vertical="center"/>
      <protection locked="0"/>
    </xf>
    <xf numFmtId="0" fontId="5" fillId="2" borderId="20" xfId="0" applyFont="1" applyFill="1" applyBorder="1" applyAlignment="1" applyProtection="1">
      <alignment horizontal="right" vertical="center"/>
      <protection locked="0"/>
    </xf>
    <xf numFmtId="0" fontId="5" fillId="2" borderId="12" xfId="0" applyFont="1" applyFill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 applyProtection="1">
      <alignment horizontal="left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2" fillId="2" borderId="27" xfId="0" applyFont="1" applyFill="1" applyBorder="1" applyAlignment="1" applyProtection="1">
      <alignment horizontal="left" vertical="center"/>
      <protection locked="0"/>
    </xf>
    <xf numFmtId="0" fontId="2" fillId="2" borderId="28" xfId="0" applyFont="1" applyFill="1" applyBorder="1" applyAlignment="1" applyProtection="1">
      <alignment horizontal="left" vertical="center"/>
      <protection locked="0"/>
    </xf>
    <xf numFmtId="0" fontId="2" fillId="2" borderId="8" xfId="0" applyFont="1" applyFill="1" applyBorder="1" applyAlignment="1" applyProtection="1">
      <alignment horizontal="left" vertical="center"/>
      <protection locked="0"/>
    </xf>
    <xf numFmtId="0" fontId="2" fillId="2" borderId="31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2" fillId="3" borderId="27" xfId="0" applyFont="1" applyFill="1" applyBorder="1" applyAlignment="1" applyProtection="1">
      <alignment horizontal="left" vertical="center"/>
      <protection locked="0"/>
    </xf>
    <xf numFmtId="0" fontId="2" fillId="3" borderId="28" xfId="0" applyFont="1" applyFill="1" applyBorder="1" applyAlignment="1" applyProtection="1">
      <alignment horizontal="left" vertical="center"/>
      <protection locked="0"/>
    </xf>
    <xf numFmtId="0" fontId="2" fillId="3" borderId="8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22" xfId="0" applyFont="1" applyFill="1" applyBorder="1" applyAlignment="1" applyProtection="1">
      <alignment horizontal="right" vertical="center"/>
      <protection locked="0"/>
    </xf>
    <xf numFmtId="0" fontId="5" fillId="2" borderId="23" xfId="0" applyFont="1" applyFill="1" applyBorder="1" applyAlignment="1" applyProtection="1">
      <alignment horizontal="right" vertical="center"/>
      <protection locked="0"/>
    </xf>
    <xf numFmtId="0" fontId="5" fillId="2" borderId="35" xfId="0" applyFont="1" applyFill="1" applyBorder="1" applyAlignment="1" applyProtection="1">
      <alignment horizontal="center" vertical="center"/>
      <protection locked="0"/>
    </xf>
    <xf numFmtId="0" fontId="5" fillId="2" borderId="36" xfId="0" applyFont="1" applyFill="1" applyBorder="1" applyAlignment="1" applyProtection="1">
      <alignment horizontal="center" vertical="center"/>
      <protection locked="0"/>
    </xf>
    <xf numFmtId="0" fontId="5" fillId="2" borderId="38" xfId="0" applyFont="1" applyFill="1" applyBorder="1" applyAlignment="1" applyProtection="1">
      <alignment horizontal="left" vertical="center"/>
      <protection locked="0"/>
    </xf>
    <xf numFmtId="0" fontId="5" fillId="2" borderId="39" xfId="0" applyFont="1" applyFill="1" applyBorder="1" applyAlignment="1" applyProtection="1">
      <alignment horizontal="left" vertical="center"/>
      <protection locked="0"/>
    </xf>
    <xf numFmtId="0" fontId="5" fillId="2" borderId="40" xfId="0" applyFont="1" applyFill="1" applyBorder="1" applyAlignment="1" applyProtection="1">
      <alignment horizontal="left" vertical="center"/>
      <protection locked="0"/>
    </xf>
    <xf numFmtId="0" fontId="5" fillId="8" borderId="0" xfId="0" applyFont="1" applyFill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5" fillId="4" borderId="17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5" borderId="7" xfId="0" applyFont="1" applyFill="1" applyBorder="1" applyAlignment="1" applyProtection="1">
      <alignment horizontal="center" vertical="center"/>
      <protection locked="0"/>
    </xf>
    <xf numFmtId="0" fontId="5" fillId="5" borderId="28" xfId="0" applyFont="1" applyFill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 applyProtection="1">
      <alignment horizontal="center" vertical="center"/>
      <protection locked="0"/>
    </xf>
    <xf numFmtId="166" fontId="2" fillId="2" borderId="17" xfId="4" applyFont="1" applyFill="1" applyBorder="1" applyAlignment="1" applyProtection="1">
      <alignment vertical="center"/>
    </xf>
    <xf numFmtId="166" fontId="2" fillId="2" borderId="1" xfId="4" applyFont="1" applyFill="1" applyBorder="1" applyAlignment="1" applyProtection="1">
      <alignment vertical="center"/>
    </xf>
    <xf numFmtId="166" fontId="2" fillId="2" borderId="7" xfId="4" applyFont="1" applyFill="1" applyBorder="1" applyAlignment="1" applyProtection="1">
      <alignment horizontal="center" vertical="center"/>
    </xf>
    <xf numFmtId="166" fontId="2" fillId="2" borderId="8" xfId="4" applyFont="1" applyFill="1" applyBorder="1" applyAlignment="1" applyProtection="1">
      <alignment horizontal="center" vertical="center"/>
    </xf>
    <xf numFmtId="165" fontId="2" fillId="2" borderId="7" xfId="4" applyNumberFormat="1" applyFont="1" applyFill="1" applyBorder="1" applyAlignment="1" applyProtection="1">
      <alignment horizontal="center" vertical="center"/>
    </xf>
    <xf numFmtId="165" fontId="2" fillId="2" borderId="8" xfId="4" applyNumberFormat="1" applyFont="1" applyFill="1" applyBorder="1" applyAlignment="1" applyProtection="1">
      <alignment horizontal="center" vertical="center"/>
    </xf>
    <xf numFmtId="0" fontId="5" fillId="0" borderId="19" xfId="0" applyFont="1" applyBorder="1" applyProtection="1">
      <protection locked="0"/>
    </xf>
    <xf numFmtId="0" fontId="5" fillId="0" borderId="20" xfId="0" applyFont="1" applyBorder="1" applyProtection="1">
      <protection locked="0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5" fillId="2" borderId="35" xfId="0" applyFont="1" applyFill="1" applyBorder="1" applyAlignment="1" applyProtection="1">
      <alignment horizontal="right" vertical="center"/>
      <protection locked="0"/>
    </xf>
    <xf numFmtId="0" fontId="5" fillId="2" borderId="36" xfId="0" applyFont="1" applyFill="1" applyBorder="1" applyAlignment="1" applyProtection="1">
      <alignment horizontal="right" vertical="center"/>
      <protection locked="0"/>
    </xf>
    <xf numFmtId="0" fontId="5" fillId="2" borderId="43" xfId="0" applyFont="1" applyFill="1" applyBorder="1" applyAlignment="1" applyProtection="1">
      <alignment horizontal="right" vertical="center"/>
      <protection locked="0"/>
    </xf>
    <xf numFmtId="0" fontId="5" fillId="0" borderId="12" xfId="0" applyFont="1" applyBorder="1" applyProtection="1">
      <protection locked="0"/>
    </xf>
    <xf numFmtId="0" fontId="5" fillId="0" borderId="13" xfId="0" applyFont="1" applyBorder="1" applyProtection="1">
      <protection locked="0"/>
    </xf>
    <xf numFmtId="0" fontId="5" fillId="0" borderId="17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6" borderId="17" xfId="0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</cellXfs>
  <cellStyles count="5">
    <cellStyle name="Millares [0]" xfId="1" builtinId="6"/>
    <cellStyle name="Moneda [0]" xfId="2" builtinId="7"/>
    <cellStyle name="Moneda 2" xfId="4" xr:uid="{44B55557-9BCD-4675-9D95-29F7F0204853}"/>
    <cellStyle name="Normal" xfId="0" builtinId="0"/>
    <cellStyle name="Porcentaje" xfId="3" builtinId="5"/>
  </cellStyles>
  <dxfs count="3"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441960</xdr:colOff>
      <xdr:row>1</xdr:row>
      <xdr:rowOff>60960</xdr:rowOff>
    </xdr:from>
    <xdr:to>
      <xdr:col>2</xdr:col>
      <xdr:colOff>243840</xdr:colOff>
      <xdr:row>5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8E0D41-5108-45C8-B9E4-B4644B44F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40" y="259080"/>
          <a:ext cx="1097280" cy="708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A755-9652-42A1-8391-BACB49B7B9BC}">
  <sheetPr>
    <tabColor rgb="FF00B050"/>
    <pageSetUpPr fitToPage="1"/>
  </sheetPr>
  <dimension ref="A1:N71"/>
  <sheetViews>
    <sheetView tabSelected="1" zoomScale="85" zoomScaleNormal="85" workbookViewId="0">
      <selection activeCell="H1" sqref="H1"/>
    </sheetView>
  </sheetViews>
  <sheetFormatPr baseColWidth="10" defaultColWidth="10.6640625" defaultRowHeight="14.4"/>
  <cols>
    <col min="1" max="1" width="7.109375" style="1" customWidth="1"/>
    <col min="2" max="2" width="18.88671875" style="1" customWidth="1"/>
    <col min="3" max="3" width="12.33203125" style="1" customWidth="1"/>
    <col min="4" max="4" width="10.6640625" style="1"/>
    <col min="5" max="5" width="17" style="1" customWidth="1"/>
    <col min="6" max="6" width="10.6640625" style="1"/>
    <col min="7" max="7" width="15" style="1" customWidth="1"/>
    <col min="8" max="8" width="28" style="1" customWidth="1"/>
    <col min="9" max="9" width="19.33203125" style="1" bestFit="1" customWidth="1"/>
    <col min="10" max="10" width="22.6640625" style="1" customWidth="1"/>
    <col min="11" max="11" width="19.88671875" style="1" bestFit="1" customWidth="1"/>
    <col min="12" max="12" width="10.6640625" style="1"/>
    <col min="13" max="13" width="11.5546875" style="1" bestFit="1" customWidth="1"/>
    <col min="14" max="14" width="10.88671875" style="1" bestFit="1" customWidth="1"/>
    <col min="15" max="16384" width="10.6640625" style="1"/>
  </cols>
  <sheetData>
    <row r="1" spans="1:11" ht="15.7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2" customHeight="1">
      <c r="A2" s="61"/>
      <c r="B2" s="88"/>
      <c r="C2" s="88"/>
      <c r="D2" s="89" t="s">
        <v>0</v>
      </c>
      <c r="E2" s="90"/>
      <c r="F2" s="90"/>
      <c r="G2" s="91"/>
      <c r="H2" s="2" t="s">
        <v>1</v>
      </c>
      <c r="I2" s="3"/>
      <c r="J2" s="61"/>
      <c r="K2" s="61"/>
    </row>
    <row r="3" spans="1:11" ht="8.4" customHeight="1">
      <c r="A3" s="61"/>
      <c r="B3" s="88"/>
      <c r="C3" s="88"/>
      <c r="D3" s="92"/>
      <c r="E3" s="93"/>
      <c r="F3" s="93"/>
      <c r="G3" s="94"/>
      <c r="H3" s="2" t="s">
        <v>2</v>
      </c>
      <c r="I3" s="2">
        <v>1</v>
      </c>
      <c r="J3" s="61"/>
      <c r="K3" s="61"/>
    </row>
    <row r="4" spans="1:11" ht="12.6" customHeight="1">
      <c r="A4" s="61"/>
      <c r="B4" s="88"/>
      <c r="C4" s="88"/>
      <c r="D4" s="92"/>
      <c r="E4" s="93"/>
      <c r="F4" s="93"/>
      <c r="G4" s="94"/>
      <c r="H4" s="2" t="s">
        <v>3</v>
      </c>
      <c r="I4" s="2" t="s">
        <v>4</v>
      </c>
      <c r="J4" s="61"/>
      <c r="K4" s="61"/>
    </row>
    <row r="5" spans="1:11" ht="12.6" customHeight="1">
      <c r="A5" s="61"/>
      <c r="B5" s="88"/>
      <c r="C5" s="88"/>
      <c r="D5" s="92"/>
      <c r="E5" s="93"/>
      <c r="F5" s="93"/>
      <c r="G5" s="94"/>
      <c r="H5" s="98" t="s">
        <v>5</v>
      </c>
      <c r="I5" s="99"/>
      <c r="J5" s="61"/>
      <c r="K5" s="61"/>
    </row>
    <row r="6" spans="1:11" ht="17.399999999999999" customHeight="1">
      <c r="A6" s="61"/>
      <c r="B6" s="88"/>
      <c r="C6" s="88"/>
      <c r="D6" s="95"/>
      <c r="E6" s="96"/>
      <c r="F6" s="96"/>
      <c r="G6" s="97"/>
      <c r="H6" s="98" t="s">
        <v>6</v>
      </c>
      <c r="I6" s="99"/>
      <c r="J6" s="61"/>
      <c r="K6" s="61"/>
    </row>
    <row r="7" spans="1:11" ht="15" thickBot="1">
      <c r="A7" s="61"/>
      <c r="B7" s="100"/>
      <c r="C7" s="100"/>
      <c r="D7" s="100"/>
      <c r="E7" s="100"/>
      <c r="F7" s="100"/>
      <c r="G7" s="100"/>
      <c r="H7" s="100"/>
      <c r="I7" s="100"/>
      <c r="J7" s="61"/>
      <c r="K7" s="61"/>
    </row>
    <row r="8" spans="1:11">
      <c r="A8" s="61"/>
      <c r="B8" s="4" t="s">
        <v>7</v>
      </c>
      <c r="C8" s="78">
        <f ca="1">TODAY()</f>
        <v>46154</v>
      </c>
      <c r="D8" s="79"/>
      <c r="E8" s="5" t="s">
        <v>8</v>
      </c>
      <c r="F8" s="80"/>
      <c r="G8" s="81"/>
      <c r="H8" s="6" t="s">
        <v>9</v>
      </c>
      <c r="I8" s="7"/>
      <c r="J8" s="61"/>
      <c r="K8" s="61"/>
    </row>
    <row r="9" spans="1:11">
      <c r="A9" s="61"/>
      <c r="B9" s="82" t="s">
        <v>10</v>
      </c>
      <c r="C9" s="83"/>
      <c r="D9" s="84" t="s">
        <v>11</v>
      </c>
      <c r="E9" s="84"/>
      <c r="F9" s="84"/>
      <c r="G9" s="84"/>
      <c r="H9" s="84"/>
      <c r="I9" s="85"/>
      <c r="J9" s="61"/>
      <c r="K9" s="61"/>
    </row>
    <row r="10" spans="1:11" ht="15" thickBot="1">
      <c r="A10" s="61"/>
      <c r="B10" s="8" t="s">
        <v>12</v>
      </c>
      <c r="C10" s="86" t="s">
        <v>13</v>
      </c>
      <c r="D10" s="86"/>
      <c r="E10" s="86"/>
      <c r="F10" s="9" t="s">
        <v>14</v>
      </c>
      <c r="G10" s="86" t="s">
        <v>15</v>
      </c>
      <c r="H10" s="86"/>
      <c r="I10" s="87"/>
      <c r="J10" s="61"/>
      <c r="K10" s="61"/>
    </row>
    <row r="11" spans="1:11" ht="15" thickBot="1">
      <c r="A11" s="61"/>
      <c r="B11" s="67"/>
      <c r="C11" s="67"/>
      <c r="D11" s="67"/>
      <c r="E11" s="67"/>
      <c r="F11" s="67"/>
      <c r="G11" s="67"/>
      <c r="H11" s="67"/>
      <c r="I11" s="67"/>
      <c r="J11" s="61"/>
      <c r="K11" s="61"/>
    </row>
    <row r="12" spans="1:11" ht="15" thickBot="1">
      <c r="A12" s="61"/>
      <c r="B12" s="76" t="s">
        <v>16</v>
      </c>
      <c r="C12" s="77"/>
      <c r="D12" s="77"/>
      <c r="E12" s="77"/>
      <c r="F12" s="77"/>
      <c r="G12" s="77"/>
      <c r="H12" s="77"/>
      <c r="I12" s="73"/>
      <c r="J12" s="61"/>
      <c r="K12" s="61"/>
    </row>
    <row r="13" spans="1:11" ht="15" thickBot="1">
      <c r="A13" s="61"/>
      <c r="B13" s="10"/>
      <c r="C13" s="10"/>
      <c r="D13" s="10"/>
      <c r="E13" s="10"/>
      <c r="F13" s="10"/>
      <c r="G13" s="10"/>
      <c r="H13" s="10"/>
      <c r="I13" s="11"/>
      <c r="J13" s="61"/>
      <c r="K13" s="61"/>
    </row>
    <row r="14" spans="1:11">
      <c r="A14" s="61"/>
      <c r="B14" s="101" t="s">
        <v>17</v>
      </c>
      <c r="C14" s="102"/>
      <c r="D14" s="102"/>
      <c r="E14" s="102"/>
      <c r="F14" s="102"/>
      <c r="G14" s="102"/>
      <c r="H14" s="103"/>
      <c r="I14" s="12" t="s">
        <v>19</v>
      </c>
      <c r="J14" s="61"/>
      <c r="K14" s="61"/>
    </row>
    <row r="15" spans="1:11">
      <c r="A15" s="61"/>
      <c r="B15" s="117" t="s">
        <v>20</v>
      </c>
      <c r="C15" s="118"/>
      <c r="D15" s="118"/>
      <c r="E15" s="118"/>
      <c r="F15" s="118"/>
      <c r="G15" s="118"/>
      <c r="H15" s="119"/>
      <c r="I15" s="13"/>
      <c r="J15" s="61"/>
      <c r="K15" s="61"/>
    </row>
    <row r="16" spans="1:11">
      <c r="A16" s="61"/>
      <c r="B16" s="111" t="s">
        <v>21</v>
      </c>
      <c r="C16" s="112"/>
      <c r="D16" s="112"/>
      <c r="E16" s="112"/>
      <c r="F16" s="112"/>
      <c r="G16" s="112"/>
      <c r="H16" s="113"/>
      <c r="I16" s="75"/>
      <c r="J16" s="61"/>
      <c r="K16" s="61"/>
    </row>
    <row r="17" spans="1:13">
      <c r="A17" s="61"/>
      <c r="B17" s="117" t="s">
        <v>22</v>
      </c>
      <c r="C17" s="118"/>
      <c r="D17" s="118"/>
      <c r="E17" s="118"/>
      <c r="F17" s="118"/>
      <c r="G17" s="118"/>
      <c r="H17" s="119"/>
      <c r="I17" s="13"/>
      <c r="J17" s="61"/>
      <c r="K17" s="61"/>
    </row>
    <row r="18" spans="1:13">
      <c r="A18" s="61"/>
      <c r="B18" s="111" t="s">
        <v>23</v>
      </c>
      <c r="C18" s="112"/>
      <c r="D18" s="112"/>
      <c r="E18" s="112"/>
      <c r="F18" s="112"/>
      <c r="G18" s="112"/>
      <c r="H18" s="113"/>
      <c r="I18" s="17"/>
      <c r="J18" s="61"/>
      <c r="K18" s="61"/>
    </row>
    <row r="19" spans="1:13">
      <c r="A19" s="61"/>
      <c r="B19" s="111" t="s">
        <v>24</v>
      </c>
      <c r="C19" s="112"/>
      <c r="D19" s="112"/>
      <c r="E19" s="112"/>
      <c r="F19" s="112"/>
      <c r="G19" s="112"/>
      <c r="H19" s="113"/>
      <c r="I19" s="17"/>
      <c r="J19" s="61"/>
      <c r="K19" s="61"/>
      <c r="M19" s="18"/>
    </row>
    <row r="20" spans="1:13">
      <c r="A20" s="61"/>
      <c r="B20" s="111" t="s">
        <v>25</v>
      </c>
      <c r="C20" s="112"/>
      <c r="D20" s="112"/>
      <c r="E20" s="112"/>
      <c r="F20" s="112"/>
      <c r="G20" s="112"/>
      <c r="H20" s="113"/>
      <c r="I20" s="17"/>
      <c r="J20" s="61"/>
      <c r="K20" s="61"/>
      <c r="M20" s="18"/>
    </row>
    <row r="21" spans="1:13" ht="15" thickBot="1">
      <c r="A21" s="61"/>
      <c r="B21" s="106" t="s">
        <v>26</v>
      </c>
      <c r="C21" s="107"/>
      <c r="D21" s="107"/>
      <c r="E21" s="107"/>
      <c r="F21" s="107"/>
      <c r="G21" s="107"/>
      <c r="H21" s="107"/>
      <c r="I21" s="46">
        <f>+I15+I18+I16+I17+I19+I20</f>
        <v>0</v>
      </c>
      <c r="J21" s="61"/>
      <c r="K21" s="62"/>
    </row>
    <row r="22" spans="1:13" ht="15" thickBot="1">
      <c r="A22" s="61"/>
      <c r="B22" s="68"/>
      <c r="C22" s="68"/>
      <c r="D22" s="68"/>
      <c r="E22" s="68"/>
      <c r="F22" s="68"/>
      <c r="G22" s="69"/>
      <c r="H22" s="69"/>
      <c r="I22" s="70"/>
      <c r="J22" s="61"/>
      <c r="K22" s="61"/>
    </row>
    <row r="23" spans="1:13">
      <c r="A23" s="61"/>
      <c r="B23" s="108" t="s">
        <v>27</v>
      </c>
      <c r="C23" s="109"/>
      <c r="D23" s="109"/>
      <c r="E23" s="109"/>
      <c r="F23" s="109"/>
      <c r="G23" s="110" t="s">
        <v>18</v>
      </c>
      <c r="H23" s="103"/>
      <c r="I23" s="12" t="s">
        <v>19</v>
      </c>
      <c r="J23" s="61"/>
      <c r="K23" s="61"/>
    </row>
    <row r="24" spans="1:13">
      <c r="A24" s="61"/>
      <c r="B24" s="111" t="s">
        <v>28</v>
      </c>
      <c r="C24" s="112"/>
      <c r="D24" s="112"/>
      <c r="E24" s="112"/>
      <c r="F24" s="113"/>
      <c r="G24" s="21"/>
      <c r="H24" s="21"/>
      <c r="I24" s="13"/>
      <c r="J24" s="61"/>
      <c r="K24" s="62"/>
    </row>
    <row r="25" spans="1:13">
      <c r="A25" s="61"/>
      <c r="B25" s="111" t="s">
        <v>29</v>
      </c>
      <c r="C25" s="112"/>
      <c r="D25" s="112"/>
      <c r="E25" s="112"/>
      <c r="F25" s="113"/>
      <c r="G25" s="21"/>
      <c r="H25" s="21"/>
      <c r="I25" s="13"/>
      <c r="J25" s="61"/>
      <c r="K25" s="63"/>
    </row>
    <row r="26" spans="1:13">
      <c r="A26" s="61"/>
      <c r="B26" s="111" t="s">
        <v>30</v>
      </c>
      <c r="C26" s="112"/>
      <c r="D26" s="112"/>
      <c r="E26" s="112"/>
      <c r="F26" s="113"/>
      <c r="G26" s="21"/>
      <c r="H26" s="21"/>
      <c r="I26" s="13"/>
      <c r="J26" s="61"/>
      <c r="K26" s="61"/>
    </row>
    <row r="27" spans="1:13">
      <c r="A27" s="61"/>
      <c r="B27" s="111" t="s">
        <v>31</v>
      </c>
      <c r="C27" s="112"/>
      <c r="D27" s="112"/>
      <c r="E27" s="112"/>
      <c r="F27" s="113"/>
      <c r="G27" s="21"/>
      <c r="H27" s="21"/>
      <c r="I27" s="13"/>
      <c r="J27" s="61"/>
      <c r="K27" s="61"/>
    </row>
    <row r="28" spans="1:13">
      <c r="A28" s="61"/>
      <c r="B28" s="14" t="s">
        <v>32</v>
      </c>
      <c r="C28" s="15"/>
      <c r="D28" s="15"/>
      <c r="E28" s="15"/>
      <c r="F28" s="16"/>
      <c r="G28" s="21"/>
      <c r="H28" s="21"/>
      <c r="I28" s="22"/>
      <c r="J28" s="61"/>
      <c r="K28" s="62"/>
    </row>
    <row r="29" spans="1:13" ht="15" thickBot="1">
      <c r="A29" s="61"/>
      <c r="B29" s="114" t="s">
        <v>33</v>
      </c>
      <c r="C29" s="115"/>
      <c r="D29" s="115"/>
      <c r="E29" s="115"/>
      <c r="F29" s="116"/>
      <c r="G29" s="20"/>
      <c r="H29" s="20"/>
      <c r="I29" s="17"/>
      <c r="J29" s="61"/>
      <c r="K29" s="61"/>
    </row>
    <row r="30" spans="1:13" ht="15" thickBot="1">
      <c r="A30" s="61"/>
      <c r="B30" s="104" t="s">
        <v>34</v>
      </c>
      <c r="C30" s="105"/>
      <c r="D30" s="105"/>
      <c r="E30" s="105"/>
      <c r="F30" s="105"/>
      <c r="G30" s="105"/>
      <c r="H30" s="105"/>
      <c r="I30" s="47">
        <f>+I24+I25+I26+I27+I28+I29</f>
        <v>0</v>
      </c>
      <c r="J30" s="61"/>
      <c r="K30" s="61"/>
    </row>
    <row r="31" spans="1:13" ht="15" thickBot="1">
      <c r="A31" s="61"/>
      <c r="B31" s="68"/>
      <c r="C31" s="68"/>
      <c r="D31" s="68"/>
      <c r="E31" s="68"/>
      <c r="F31" s="68"/>
      <c r="G31" s="69"/>
      <c r="H31" s="69"/>
      <c r="I31" s="70"/>
      <c r="J31" s="61"/>
      <c r="K31" s="61"/>
    </row>
    <row r="32" spans="1:13">
      <c r="A32" s="61"/>
      <c r="B32" s="120" t="s">
        <v>35</v>
      </c>
      <c r="C32" s="79"/>
      <c r="D32" s="79"/>
      <c r="E32" s="79"/>
      <c r="F32" s="79"/>
      <c r="G32" s="79"/>
      <c r="H32" s="79"/>
      <c r="I32" s="121"/>
      <c r="J32" s="61"/>
      <c r="K32" s="61"/>
    </row>
    <row r="33" spans="1:11">
      <c r="A33" s="61"/>
      <c r="B33" s="23" t="s">
        <v>36</v>
      </c>
      <c r="C33" s="21" t="s">
        <v>37</v>
      </c>
      <c r="D33" s="84" t="s">
        <v>38</v>
      </c>
      <c r="E33" s="84"/>
      <c r="F33" s="124" t="s">
        <v>39</v>
      </c>
      <c r="G33" s="125"/>
      <c r="H33" s="126"/>
      <c r="I33" s="24" t="s">
        <v>40</v>
      </c>
      <c r="J33" s="61"/>
      <c r="K33" s="61"/>
    </row>
    <row r="34" spans="1:11">
      <c r="A34" s="61"/>
      <c r="B34" s="25"/>
      <c r="C34" s="26"/>
      <c r="D34" s="122"/>
      <c r="E34" s="113"/>
      <c r="F34" s="27"/>
      <c r="G34" s="28"/>
      <c r="H34" s="29"/>
      <c r="I34" s="30"/>
      <c r="J34" s="61"/>
      <c r="K34" s="61"/>
    </row>
    <row r="35" spans="1:11">
      <c r="A35" s="61"/>
      <c r="B35" s="25"/>
      <c r="C35" s="26"/>
      <c r="D35" s="31"/>
      <c r="E35" s="16"/>
      <c r="F35" s="135"/>
      <c r="G35" s="136"/>
      <c r="H35" s="137"/>
      <c r="I35" s="30"/>
      <c r="J35" s="61"/>
      <c r="K35" s="61"/>
    </row>
    <row r="36" spans="1:11">
      <c r="A36" s="61"/>
      <c r="B36" s="25"/>
      <c r="C36" s="26"/>
      <c r="D36" s="31"/>
      <c r="E36" s="16"/>
      <c r="F36" s="135"/>
      <c r="G36" s="136"/>
      <c r="H36" s="137"/>
      <c r="I36" s="30"/>
      <c r="J36" s="61"/>
      <c r="K36" s="61"/>
    </row>
    <row r="37" spans="1:11">
      <c r="A37" s="61"/>
      <c r="B37" s="25"/>
      <c r="C37" s="26"/>
      <c r="D37" s="31"/>
      <c r="E37" s="16"/>
      <c r="F37" s="135"/>
      <c r="G37" s="136"/>
      <c r="H37" s="137"/>
      <c r="I37" s="74"/>
      <c r="J37" s="61"/>
      <c r="K37" s="61"/>
    </row>
    <row r="38" spans="1:11">
      <c r="A38" s="61"/>
      <c r="B38" s="25"/>
      <c r="C38" s="26"/>
      <c r="D38" s="31"/>
      <c r="E38" s="16"/>
      <c r="F38" s="135"/>
      <c r="G38" s="136"/>
      <c r="H38" s="137"/>
      <c r="I38" s="30"/>
      <c r="J38" s="61"/>
      <c r="K38" s="61"/>
    </row>
    <row r="39" spans="1:11">
      <c r="A39" s="61"/>
      <c r="B39" s="25"/>
      <c r="C39" s="26"/>
      <c r="D39" s="122"/>
      <c r="E39" s="113"/>
      <c r="F39" s="162"/>
      <c r="G39" s="163"/>
      <c r="H39" s="164"/>
      <c r="I39" s="30"/>
      <c r="J39" s="61"/>
      <c r="K39" s="61"/>
    </row>
    <row r="40" spans="1:11">
      <c r="A40" s="61"/>
      <c r="B40" s="25"/>
      <c r="C40" s="26"/>
      <c r="D40" s="122"/>
      <c r="E40" s="113"/>
      <c r="F40" s="162"/>
      <c r="G40" s="163"/>
      <c r="H40" s="164"/>
      <c r="I40" s="30"/>
      <c r="J40" s="61"/>
      <c r="K40" s="61"/>
    </row>
    <row r="41" spans="1:11">
      <c r="A41" s="61"/>
      <c r="B41" s="25"/>
      <c r="C41" s="26"/>
      <c r="D41" s="122"/>
      <c r="E41" s="113"/>
      <c r="F41" s="162"/>
      <c r="G41" s="163"/>
      <c r="H41" s="164"/>
      <c r="I41" s="30"/>
      <c r="J41" s="61"/>
      <c r="K41" s="61"/>
    </row>
    <row r="42" spans="1:11">
      <c r="A42" s="61"/>
      <c r="B42" s="32"/>
      <c r="C42" s="33"/>
      <c r="D42" s="34"/>
      <c r="E42" s="19"/>
      <c r="F42" s="135"/>
      <c r="G42" s="136"/>
      <c r="H42" s="137"/>
      <c r="I42" s="30"/>
      <c r="J42" s="61"/>
      <c r="K42" s="61"/>
    </row>
    <row r="43" spans="1:11" ht="15" thickBot="1">
      <c r="A43" s="61"/>
      <c r="B43" s="32"/>
      <c r="C43" s="33"/>
      <c r="D43" s="123"/>
      <c r="E43" s="116"/>
      <c r="F43" s="35"/>
      <c r="G43" s="36"/>
      <c r="H43" s="37"/>
      <c r="I43" s="30"/>
      <c r="J43" s="61"/>
      <c r="K43" s="61"/>
    </row>
    <row r="44" spans="1:11" ht="15" thickBot="1">
      <c r="A44" s="61"/>
      <c r="B44" s="127" t="s">
        <v>41</v>
      </c>
      <c r="C44" s="128"/>
      <c r="D44" s="128"/>
      <c r="E44" s="128"/>
      <c r="F44" s="128"/>
      <c r="G44" s="128"/>
      <c r="H44" s="128"/>
      <c r="I44" s="48">
        <f>SUM(I34:I43)</f>
        <v>0</v>
      </c>
      <c r="J44" s="61"/>
      <c r="K44" s="61"/>
    </row>
    <row r="45" spans="1:11" ht="15" thickBot="1">
      <c r="A45" s="61"/>
      <c r="B45" s="71"/>
      <c r="C45" s="71"/>
      <c r="D45" s="71"/>
      <c r="E45" s="71"/>
      <c r="F45" s="71"/>
      <c r="G45" s="71"/>
      <c r="H45" s="71"/>
      <c r="I45" s="72"/>
      <c r="J45" s="61"/>
      <c r="K45" s="61"/>
    </row>
    <row r="46" spans="1:11">
      <c r="A46" s="61"/>
      <c r="B46" s="120" t="s">
        <v>42</v>
      </c>
      <c r="C46" s="79"/>
      <c r="D46" s="79"/>
      <c r="E46" s="79"/>
      <c r="F46" s="79"/>
      <c r="G46" s="79"/>
      <c r="H46" s="110"/>
      <c r="I46" s="49">
        <f>+I30+I44</f>
        <v>0</v>
      </c>
      <c r="J46" s="61"/>
      <c r="K46" s="61"/>
    </row>
    <row r="47" spans="1:11" ht="15" thickBot="1">
      <c r="A47" s="61"/>
      <c r="B47" s="129" t="s">
        <v>43</v>
      </c>
      <c r="C47" s="130"/>
      <c r="D47" s="130"/>
      <c r="E47" s="130"/>
      <c r="F47" s="130"/>
      <c r="G47" s="130"/>
      <c r="H47" s="130"/>
      <c r="I47" s="50">
        <f>+I21+I12</f>
        <v>0</v>
      </c>
      <c r="J47" s="61"/>
      <c r="K47" s="61"/>
    </row>
    <row r="48" spans="1:11" ht="14.25" customHeight="1" thickBot="1">
      <c r="A48" s="61"/>
      <c r="B48" s="65"/>
      <c r="C48" s="65"/>
      <c r="D48" s="65"/>
      <c r="E48" s="65"/>
      <c r="F48" s="65"/>
      <c r="G48" s="65"/>
      <c r="H48" s="65"/>
      <c r="I48" s="66"/>
      <c r="J48" s="61"/>
      <c r="K48" s="61"/>
    </row>
    <row r="49" spans="1:14" ht="15" thickBot="1">
      <c r="A49" s="61"/>
      <c r="B49" s="131" t="s">
        <v>44</v>
      </c>
      <c r="C49" s="132"/>
      <c r="D49" s="132"/>
      <c r="E49" s="132"/>
      <c r="F49" s="133"/>
      <c r="G49" s="134"/>
      <c r="H49" s="134"/>
      <c r="I49" s="134"/>
      <c r="J49" s="61"/>
      <c r="K49" s="61"/>
    </row>
    <row r="50" spans="1:14">
      <c r="A50" s="61"/>
      <c r="B50" s="120" t="s">
        <v>45</v>
      </c>
      <c r="C50" s="79"/>
      <c r="D50" s="79"/>
      <c r="E50" s="79"/>
      <c r="F50" s="79"/>
      <c r="G50" s="79"/>
      <c r="H50" s="79"/>
      <c r="I50" s="121"/>
      <c r="J50" s="61"/>
      <c r="K50" s="61"/>
    </row>
    <row r="51" spans="1:14">
      <c r="A51" s="61"/>
      <c r="B51" s="138" t="s">
        <v>46</v>
      </c>
      <c r="C51" s="139"/>
      <c r="D51" s="139"/>
      <c r="E51" s="139"/>
      <c r="F51" s="140" t="s">
        <v>47</v>
      </c>
      <c r="G51" s="141"/>
      <c r="H51" s="141"/>
      <c r="I51" s="142"/>
      <c r="J51" s="61"/>
      <c r="K51" s="61"/>
    </row>
    <row r="52" spans="1:14">
      <c r="A52" s="61"/>
      <c r="B52" s="138" t="s">
        <v>48</v>
      </c>
      <c r="C52" s="139"/>
      <c r="D52" s="38" t="s">
        <v>49</v>
      </c>
      <c r="E52" s="38" t="s">
        <v>40</v>
      </c>
      <c r="F52" s="140" t="s">
        <v>48</v>
      </c>
      <c r="G52" s="143"/>
      <c r="H52" s="39" t="s">
        <v>49</v>
      </c>
      <c r="I52" s="40" t="s">
        <v>40</v>
      </c>
      <c r="J52" s="61"/>
      <c r="K52" s="61"/>
      <c r="M52" s="41"/>
      <c r="N52" s="41"/>
    </row>
    <row r="53" spans="1:14">
      <c r="A53" s="61"/>
      <c r="B53" s="144">
        <v>100000</v>
      </c>
      <c r="C53" s="145"/>
      <c r="D53" s="42"/>
      <c r="E53" s="51">
        <f t="shared" ref="E53:E59" si="0">+B53*D53</f>
        <v>0</v>
      </c>
      <c r="F53" s="146">
        <v>1000</v>
      </c>
      <c r="G53" s="147"/>
      <c r="H53" s="42"/>
      <c r="I53" s="52">
        <f>+F53*H53</f>
        <v>0</v>
      </c>
      <c r="J53" s="61"/>
      <c r="K53" s="61"/>
      <c r="N53" s="43"/>
    </row>
    <row r="54" spans="1:14">
      <c r="A54" s="61"/>
      <c r="B54" s="144">
        <v>50000</v>
      </c>
      <c r="C54" s="145"/>
      <c r="D54" s="42"/>
      <c r="E54" s="51">
        <f t="shared" si="0"/>
        <v>0</v>
      </c>
      <c r="F54" s="146">
        <v>500</v>
      </c>
      <c r="G54" s="147"/>
      <c r="H54" s="42"/>
      <c r="I54" s="52">
        <f>+F54*H54</f>
        <v>0</v>
      </c>
      <c r="J54" s="61"/>
      <c r="K54" s="61"/>
      <c r="N54" s="18"/>
    </row>
    <row r="55" spans="1:14">
      <c r="A55" s="61"/>
      <c r="B55" s="144">
        <v>20000</v>
      </c>
      <c r="C55" s="145"/>
      <c r="D55" s="42"/>
      <c r="E55" s="51">
        <f t="shared" si="0"/>
        <v>0</v>
      </c>
      <c r="F55" s="146">
        <v>200</v>
      </c>
      <c r="G55" s="147"/>
      <c r="H55" s="42"/>
      <c r="I55" s="52">
        <f>+F55*H55</f>
        <v>0</v>
      </c>
      <c r="J55" s="61"/>
      <c r="K55" s="61"/>
    </row>
    <row r="56" spans="1:14">
      <c r="A56" s="61"/>
      <c r="B56" s="144">
        <v>10000</v>
      </c>
      <c r="C56" s="145"/>
      <c r="D56" s="42"/>
      <c r="E56" s="51">
        <f t="shared" si="0"/>
        <v>0</v>
      </c>
      <c r="F56" s="146">
        <v>100</v>
      </c>
      <c r="G56" s="147"/>
      <c r="H56" s="42"/>
      <c r="I56" s="52">
        <f>+F56*H56</f>
        <v>0</v>
      </c>
      <c r="J56" s="61"/>
      <c r="K56" s="61"/>
    </row>
    <row r="57" spans="1:14">
      <c r="A57" s="61"/>
      <c r="B57" s="144">
        <v>5000</v>
      </c>
      <c r="C57" s="145"/>
      <c r="D57" s="42"/>
      <c r="E57" s="51">
        <f t="shared" si="0"/>
        <v>0</v>
      </c>
      <c r="F57" s="146">
        <v>50</v>
      </c>
      <c r="G57" s="147"/>
      <c r="H57" s="42"/>
      <c r="I57" s="52">
        <f>+F57*H57</f>
        <v>0</v>
      </c>
      <c r="J57" s="61"/>
      <c r="K57" s="61"/>
    </row>
    <row r="58" spans="1:14">
      <c r="A58" s="61"/>
      <c r="B58" s="144">
        <v>2000</v>
      </c>
      <c r="C58" s="145"/>
      <c r="D58" s="42"/>
      <c r="E58" s="51">
        <f t="shared" si="0"/>
        <v>0</v>
      </c>
      <c r="F58" s="148"/>
      <c r="G58" s="149"/>
      <c r="H58" s="42"/>
      <c r="I58" s="52"/>
      <c r="J58" s="61"/>
      <c r="K58" s="61"/>
    </row>
    <row r="59" spans="1:14">
      <c r="A59" s="61"/>
      <c r="B59" s="144">
        <v>1000</v>
      </c>
      <c r="C59" s="145"/>
      <c r="D59" s="42"/>
      <c r="E59" s="51">
        <f t="shared" si="0"/>
        <v>0</v>
      </c>
      <c r="F59" s="148"/>
      <c r="G59" s="149"/>
      <c r="H59" s="42"/>
      <c r="I59" s="53"/>
      <c r="J59" s="61"/>
      <c r="K59" s="61"/>
    </row>
    <row r="60" spans="1:14">
      <c r="A60" s="61"/>
      <c r="B60" s="152" t="s">
        <v>50</v>
      </c>
      <c r="C60" s="84"/>
      <c r="D60" s="54">
        <f>SUM(D53:D59)</f>
        <v>0</v>
      </c>
      <c r="E60" s="51">
        <f>SUM(E53:E59)</f>
        <v>0</v>
      </c>
      <c r="F60" s="124" t="s">
        <v>51</v>
      </c>
      <c r="G60" s="126"/>
      <c r="H60" s="54">
        <f>SUM(H53:H57)</f>
        <v>0</v>
      </c>
      <c r="I60" s="55">
        <f>SUM(I53:I59)</f>
        <v>0</v>
      </c>
      <c r="J60" s="61"/>
      <c r="K60" s="61"/>
    </row>
    <row r="61" spans="1:14" ht="15" thickBot="1">
      <c r="A61" s="61"/>
      <c r="B61" s="153" t="s">
        <v>52</v>
      </c>
      <c r="C61" s="154"/>
      <c r="D61" s="154"/>
      <c r="E61" s="154"/>
      <c r="F61" s="154"/>
      <c r="G61" s="154"/>
      <c r="H61" s="155"/>
      <c r="I61" s="56">
        <f>+E60+I60</f>
        <v>0</v>
      </c>
      <c r="J61" s="61"/>
      <c r="K61" s="61"/>
    </row>
    <row r="62" spans="1:14" ht="15" thickBot="1">
      <c r="A62" s="61"/>
      <c r="B62" s="64"/>
      <c r="C62" s="64"/>
      <c r="D62" s="64"/>
      <c r="E62" s="64"/>
      <c r="F62" s="64"/>
      <c r="G62" s="64"/>
      <c r="H62" s="64"/>
      <c r="I62" s="64"/>
      <c r="J62" s="61"/>
      <c r="K62" s="61"/>
    </row>
    <row r="63" spans="1:14">
      <c r="A63" s="61"/>
      <c r="B63" s="64"/>
      <c r="C63" s="64"/>
      <c r="D63" s="64"/>
      <c r="E63" s="64"/>
      <c r="F63" s="64"/>
      <c r="G63" s="156" t="s">
        <v>53</v>
      </c>
      <c r="H63" s="157"/>
      <c r="I63" s="57">
        <f>+I21+I12</f>
        <v>0</v>
      </c>
      <c r="J63" s="61"/>
      <c r="K63" s="61"/>
    </row>
    <row r="64" spans="1:14">
      <c r="A64" s="61"/>
      <c r="B64" s="64"/>
      <c r="C64" s="64"/>
      <c r="D64" s="64"/>
      <c r="E64" s="64"/>
      <c r="F64" s="64"/>
      <c r="G64" s="158" t="s">
        <v>54</v>
      </c>
      <c r="H64" s="159"/>
      <c r="I64" s="58">
        <f>+I61</f>
        <v>0</v>
      </c>
      <c r="J64" s="61"/>
      <c r="K64" s="62"/>
    </row>
    <row r="65" spans="1:11">
      <c r="A65" s="61"/>
      <c r="B65" s="64"/>
      <c r="C65" s="64"/>
      <c r="D65" s="64"/>
      <c r="E65" s="64"/>
      <c r="F65" s="64"/>
      <c r="G65" s="44" t="s">
        <v>55</v>
      </c>
      <c r="H65" s="45"/>
      <c r="I65" s="58">
        <f>+I46</f>
        <v>0</v>
      </c>
      <c r="J65" s="61"/>
      <c r="K65" s="61"/>
    </row>
    <row r="66" spans="1:11">
      <c r="A66" s="61"/>
      <c r="B66" s="64"/>
      <c r="C66" s="64"/>
      <c r="D66" s="64"/>
      <c r="E66" s="64"/>
      <c r="F66" s="64"/>
      <c r="G66" s="160" t="s">
        <v>56</v>
      </c>
      <c r="H66" s="161"/>
      <c r="I66" s="59">
        <f>+I63-I64-I65</f>
        <v>0</v>
      </c>
      <c r="J66" s="61"/>
      <c r="K66" s="61"/>
    </row>
    <row r="67" spans="1:11" ht="15" thickBot="1">
      <c r="A67" s="61"/>
      <c r="B67" s="64"/>
      <c r="C67" s="64"/>
      <c r="D67" s="64"/>
      <c r="E67" s="64"/>
      <c r="F67" s="64"/>
      <c r="G67" s="150" t="s">
        <v>57</v>
      </c>
      <c r="H67" s="151"/>
      <c r="I67" s="60">
        <f>I64-I12</f>
        <v>0</v>
      </c>
      <c r="J67" s="61"/>
      <c r="K67" s="61"/>
    </row>
    <row r="68" spans="1:1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</row>
    <row r="69" spans="1:11">
      <c r="A69" s="61"/>
      <c r="B69" s="61"/>
      <c r="C69" s="61"/>
      <c r="D69" s="61"/>
      <c r="E69" s="61"/>
      <c r="F69" s="61"/>
      <c r="G69" s="61"/>
      <c r="H69" s="61"/>
      <c r="I69" s="62"/>
      <c r="J69" s="61"/>
      <c r="K69" s="61"/>
    </row>
    <row r="70" spans="1:1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</row>
    <row r="71" spans="1:1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</row>
  </sheetData>
  <sheetProtection algorithmName="SHA-512" hashValue="34YBCtC8WO8Fkx4nSXdJANJE8XO9cYs/6+1vqnLYFcCM9/sSm9tMrxclaroz7EHM1H9i8CwoRWHXYAPgC0+0MQ==" saltValue="dSKUQpfF1IY/M9RGmx1+Cg==" spinCount="100000" sheet="1" objects="1" scenarios="1"/>
  <mergeCells count="75">
    <mergeCell ref="F37:H37"/>
    <mergeCell ref="F38:H38"/>
    <mergeCell ref="F42:H42"/>
    <mergeCell ref="F39:H39"/>
    <mergeCell ref="F40:H40"/>
    <mergeCell ref="F41:H41"/>
    <mergeCell ref="G67:H67"/>
    <mergeCell ref="B60:C60"/>
    <mergeCell ref="F60:G60"/>
    <mergeCell ref="B61:H61"/>
    <mergeCell ref="G63:H63"/>
    <mergeCell ref="G64:H64"/>
    <mergeCell ref="G66:H66"/>
    <mergeCell ref="B57:C57"/>
    <mergeCell ref="F57:G57"/>
    <mergeCell ref="B58:C58"/>
    <mergeCell ref="F58:G58"/>
    <mergeCell ref="B59:C59"/>
    <mergeCell ref="F59:G59"/>
    <mergeCell ref="B54:C54"/>
    <mergeCell ref="F54:G54"/>
    <mergeCell ref="B55:C55"/>
    <mergeCell ref="F55:G55"/>
    <mergeCell ref="B56:C56"/>
    <mergeCell ref="F56:G56"/>
    <mergeCell ref="B51:E51"/>
    <mergeCell ref="F51:I51"/>
    <mergeCell ref="B52:C52"/>
    <mergeCell ref="F52:G52"/>
    <mergeCell ref="B53:C53"/>
    <mergeCell ref="F53:G53"/>
    <mergeCell ref="B50:I50"/>
    <mergeCell ref="D40:E40"/>
    <mergeCell ref="D41:E41"/>
    <mergeCell ref="D43:E43"/>
    <mergeCell ref="B32:I32"/>
    <mergeCell ref="D33:E33"/>
    <mergeCell ref="F33:H33"/>
    <mergeCell ref="D34:E34"/>
    <mergeCell ref="D39:E39"/>
    <mergeCell ref="B44:H44"/>
    <mergeCell ref="B46:H46"/>
    <mergeCell ref="B47:H47"/>
    <mergeCell ref="B49:F49"/>
    <mergeCell ref="G49:I49"/>
    <mergeCell ref="F35:H35"/>
    <mergeCell ref="F36:H36"/>
    <mergeCell ref="B14:H14"/>
    <mergeCell ref="B30:H30"/>
    <mergeCell ref="B21:H21"/>
    <mergeCell ref="B23:F23"/>
    <mergeCell ref="G23:H23"/>
    <mergeCell ref="B24:F24"/>
    <mergeCell ref="B25:F25"/>
    <mergeCell ref="B26:F26"/>
    <mergeCell ref="B27:F27"/>
    <mergeCell ref="B29:F29"/>
    <mergeCell ref="B15:H15"/>
    <mergeCell ref="B16:H16"/>
    <mergeCell ref="B18:H18"/>
    <mergeCell ref="B19:H19"/>
    <mergeCell ref="B17:H17"/>
    <mergeCell ref="B20:H20"/>
    <mergeCell ref="B2:C6"/>
    <mergeCell ref="D2:G6"/>
    <mergeCell ref="H5:I5"/>
    <mergeCell ref="H6:I6"/>
    <mergeCell ref="B7:I7"/>
    <mergeCell ref="B12:H12"/>
    <mergeCell ref="C8:D8"/>
    <mergeCell ref="F8:G8"/>
    <mergeCell ref="B9:C9"/>
    <mergeCell ref="D9:I9"/>
    <mergeCell ref="C10:E10"/>
    <mergeCell ref="G10:I10"/>
  </mergeCells>
  <conditionalFormatting sqref="I66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between">
      <formula>0</formula>
      <formula>0</formula>
    </cfRule>
  </conditionalFormatting>
  <pageMargins left="0.7" right="0.7" top="0.75" bottom="0.75" header="0.3" footer="0.3"/>
  <pageSetup scale="49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ARQUEO DE CAJA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CASTRO LOPEZ DAVID FERNANDO</cp:lastModifiedBy>
  <cp:lastPrinted>2026-01-23T14:41:21Z</cp:lastPrinted>
  <dcterms:created xsi:type="dcterms:W3CDTF">2025-11-08T16:39:18Z</dcterms:created>
  <dcterms:modified xsi:type="dcterms:W3CDTF">2026-05-12T19:42:31Z</dcterms:modified>
</cp:coreProperties>
</file>